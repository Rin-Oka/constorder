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\public_html\constorder\documents\"/>
    </mc:Choice>
  </mc:AlternateContent>
  <xr:revisionPtr revIDLastSave="0" documentId="13_ncr:1_{DA36B8B1-69F7-4663-8B54-3981A10CAC1F}" xr6:coauthVersionLast="47" xr6:coauthVersionMax="47" xr10:uidLastSave="{00000000-0000-0000-0000-000000000000}"/>
  <bookViews>
    <workbookView xWindow="-120" yWindow="-120" windowWidth="29040" windowHeight="15840" xr2:uid="{7962CDDA-25C2-4AF9-8A6B-E319668F7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" i="1" l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9" i="1"/>
  <c r="S9" i="1" s="1"/>
</calcChain>
</file>

<file path=xl/sharedStrings.xml><?xml version="1.0" encoding="utf-8"?>
<sst xmlns="http://schemas.openxmlformats.org/spreadsheetml/2006/main" count="153" uniqueCount="33">
  <si>
    <t>M</t>
  </si>
  <si>
    <t>ｍ3/回</t>
  </si>
  <si>
    <t>×</t>
  </si>
  <si>
    <t>回</t>
  </si>
  <si>
    <t>～</t>
  </si>
  <si>
    <t>ｍ4/回</t>
  </si>
  <si>
    <t>11BL(6.5LF)　EL179.000～EL179.400</t>
  </si>
  <si>
    <t>42～66m3/h</t>
  </si>
  <si>
    <t>-</t>
  </si>
  <si>
    <t>1'</t>
  </si>
  <si>
    <t>Am1</t>
  </si>
  <si>
    <t>Bm2</t>
  </si>
  <si>
    <t>2'</t>
  </si>
  <si>
    <t>3'</t>
  </si>
  <si>
    <t>4'</t>
  </si>
  <si>
    <t>Cm1</t>
  </si>
  <si>
    <t>5'</t>
  </si>
  <si>
    <t>6'</t>
  </si>
  <si>
    <t>コンクリート打設計画</t>
    <rPh sb="6" eb="8">
      <t>ダセツ</t>
    </rPh>
    <rPh sb="8" eb="10">
      <t>ケイカク</t>
    </rPh>
    <phoneticPr fontId="1"/>
  </si>
  <si>
    <t>打設日時</t>
    <rPh sb="0" eb="2">
      <t>ダセツ</t>
    </rPh>
    <rPh sb="2" eb="4">
      <t>ニチジ</t>
    </rPh>
    <phoneticPr fontId="1"/>
  </si>
  <si>
    <t>令和5年5月26日（金）　3時00分～8時26分</t>
    <rPh sb="0" eb="2">
      <t>レイワ</t>
    </rPh>
    <rPh sb="3" eb="4">
      <t>ネン</t>
    </rPh>
    <rPh sb="5" eb="6">
      <t>ガツ</t>
    </rPh>
    <rPh sb="8" eb="9">
      <t>ニチ</t>
    </rPh>
    <rPh sb="10" eb="11">
      <t>キン</t>
    </rPh>
    <rPh sb="14" eb="15">
      <t>ジ</t>
    </rPh>
    <rPh sb="17" eb="18">
      <t>フン</t>
    </rPh>
    <rPh sb="20" eb="21">
      <t>ジ</t>
    </rPh>
    <rPh sb="23" eb="24">
      <t>フン</t>
    </rPh>
    <phoneticPr fontId="1"/>
  </si>
  <si>
    <t>打設ブロック</t>
    <rPh sb="0" eb="2">
      <t>ダセツ</t>
    </rPh>
    <phoneticPr fontId="1"/>
  </si>
  <si>
    <t>打設予定速度</t>
    <rPh sb="0" eb="2">
      <t>ダセツ</t>
    </rPh>
    <rPh sb="2" eb="4">
      <t>ヨテイ</t>
    </rPh>
    <rPh sb="4" eb="6">
      <t>ソクド</t>
    </rPh>
    <phoneticPr fontId="1"/>
  </si>
  <si>
    <t>配置人員</t>
    <rPh sb="0" eb="2">
      <t>ハイチ</t>
    </rPh>
    <rPh sb="2" eb="4">
      <t>ジンイン</t>
    </rPh>
    <phoneticPr fontId="1"/>
  </si>
  <si>
    <t>出荷計画</t>
    <rPh sb="0" eb="2">
      <t>シュッカ</t>
    </rPh>
    <rPh sb="2" eb="4">
      <t>ケイカク</t>
    </rPh>
    <phoneticPr fontId="1"/>
  </si>
  <si>
    <t>計画数量</t>
    <rPh sb="0" eb="2">
      <t>ケイカク</t>
    </rPh>
    <rPh sb="2" eb="4">
      <t>スウリョウ</t>
    </rPh>
    <phoneticPr fontId="1"/>
  </si>
  <si>
    <t>備　　考</t>
    <rPh sb="0" eb="1">
      <t>ソナエ</t>
    </rPh>
    <rPh sb="3" eb="4">
      <t>コウ</t>
    </rPh>
    <phoneticPr fontId="1"/>
  </si>
  <si>
    <t>場所</t>
    <rPh sb="0" eb="2">
      <t>バショ</t>
    </rPh>
    <phoneticPr fontId="1"/>
  </si>
  <si>
    <t>配合</t>
    <rPh sb="0" eb="2">
      <t>ハイゴウ</t>
    </rPh>
    <phoneticPr fontId="1"/>
  </si>
  <si>
    <t>運搬数量・回数</t>
    <rPh sb="0" eb="2">
      <t>ウンパン</t>
    </rPh>
    <rPh sb="2" eb="4">
      <t>スウリョウ</t>
    </rPh>
    <rPh sb="5" eb="6">
      <t>カイ</t>
    </rPh>
    <rPh sb="6" eb="7">
      <t>スウ</t>
    </rPh>
    <phoneticPr fontId="1"/>
  </si>
  <si>
    <t>出荷数量</t>
    <rPh sb="0" eb="2">
      <t>シュッカ</t>
    </rPh>
    <rPh sb="2" eb="4">
      <t>スウリョウ</t>
    </rPh>
    <phoneticPr fontId="1"/>
  </si>
  <si>
    <t>累計</t>
    <rPh sb="0" eb="2">
      <t>ルイケイ</t>
    </rPh>
    <phoneticPr fontId="1"/>
  </si>
  <si>
    <t>時間</t>
    <rPh sb="0" eb="2">
      <t>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</si>
</sst>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8454-8F88-40BC-8558-C3B0871DBEC6}">
  <dimension ref="A1:S32"/>
  <sheetViews>
    <sheetView tabSelected="1" zoomScale="70" zoomScaleNormal="70" workbookViewId="0">
      <selection activeCell="J19" sqref="J19"/>
    </sheetView>
  </sheetViews>
  <sheetFormatPr defaultRowHeight="18.75" x14ac:dyDescent="0.4"/>
  <cols>
    <col min="19" max="19" width="14.375" bestFit="1" customWidth="1"/>
  </cols>
  <sheetData>
    <row r="1" spans="1:19" x14ac:dyDescent="0.4">
      <c r="A1" t="s">
        <v>18</v>
      </c>
    </row>
    <row r="2" spans="1:19" x14ac:dyDescent="0.4">
      <c r="A2" t="s">
        <v>19</v>
      </c>
      <c r="C2" t="s">
        <v>20</v>
      </c>
    </row>
    <row r="3" spans="1:19" x14ac:dyDescent="0.4">
      <c r="A3" t="s">
        <v>21</v>
      </c>
      <c r="C3" t="s">
        <v>6</v>
      </c>
    </row>
    <row r="4" spans="1:19" x14ac:dyDescent="0.4">
      <c r="A4" t="s">
        <v>22</v>
      </c>
      <c r="C4" t="s">
        <v>7</v>
      </c>
    </row>
    <row r="5" spans="1:19" x14ac:dyDescent="0.4">
      <c r="A5" t="s">
        <v>23</v>
      </c>
      <c r="C5" t="s">
        <v>8</v>
      </c>
    </row>
    <row r="6" spans="1:19" x14ac:dyDescent="0.4">
      <c r="A6" t="s">
        <v>24</v>
      </c>
      <c r="J6" t="s">
        <v>25</v>
      </c>
      <c r="M6" t="s">
        <v>26</v>
      </c>
    </row>
    <row r="7" spans="1:19" x14ac:dyDescent="0.4">
      <c r="A7" t="s">
        <v>27</v>
      </c>
      <c r="B7" t="s">
        <v>28</v>
      </c>
      <c r="C7" t="s">
        <v>29</v>
      </c>
      <c r="H7" t="s">
        <v>30</v>
      </c>
    </row>
    <row r="8" spans="1:19" x14ac:dyDescent="0.4">
      <c r="H8" t="s">
        <v>27</v>
      </c>
      <c r="I8" t="s">
        <v>31</v>
      </c>
      <c r="J8" t="s">
        <v>27</v>
      </c>
      <c r="K8" t="s">
        <v>31</v>
      </c>
      <c r="M8" t="s">
        <v>32</v>
      </c>
    </row>
    <row r="9" spans="1:19" x14ac:dyDescent="0.4">
      <c r="A9">
        <v>1</v>
      </c>
      <c r="B9" t="s">
        <v>0</v>
      </c>
      <c r="C9">
        <v>1.0901999999999998</v>
      </c>
      <c r="D9" t="s">
        <v>1</v>
      </c>
      <c r="E9" t="s">
        <v>2</v>
      </c>
      <c r="F9">
        <v>1</v>
      </c>
      <c r="G9" t="s">
        <v>3</v>
      </c>
      <c r="H9">
        <v>1.0901999999999998</v>
      </c>
      <c r="I9">
        <v>1.0901999999999998</v>
      </c>
      <c r="J9">
        <v>1.0901999999999998</v>
      </c>
      <c r="K9">
        <v>1.0901999999999998</v>
      </c>
      <c r="M9">
        <v>0.125</v>
      </c>
      <c r="O9" t="s">
        <v>4</v>
      </c>
      <c r="P9">
        <v>0.13194444444444445</v>
      </c>
      <c r="R9">
        <f>P9-M9</f>
        <v>6.9444444444444475E-3</v>
      </c>
      <c r="S9" s="1">
        <f>R9*24</f>
        <v>0.16666666666666674</v>
      </c>
    </row>
    <row r="10" spans="1:19" x14ac:dyDescent="0.4">
      <c r="A10" t="s">
        <v>9</v>
      </c>
      <c r="B10" t="s">
        <v>0</v>
      </c>
      <c r="C10">
        <v>1.3040999999999998</v>
      </c>
      <c r="D10" t="s">
        <v>1</v>
      </c>
      <c r="E10" t="s">
        <v>2</v>
      </c>
      <c r="F10">
        <v>1</v>
      </c>
      <c r="G10" t="s">
        <v>3</v>
      </c>
      <c r="H10">
        <v>1.3040999999999998</v>
      </c>
      <c r="I10">
        <v>2.3942999999999994</v>
      </c>
      <c r="J10">
        <v>1.3040999999999998</v>
      </c>
      <c r="K10">
        <v>2.3942999999999994</v>
      </c>
      <c r="M10">
        <v>0.125</v>
      </c>
      <c r="O10" t="s">
        <v>4</v>
      </c>
      <c r="P10">
        <v>0.13194444444444445</v>
      </c>
      <c r="R10">
        <f t="shared" ref="R10:R32" si="0">P10-M10</f>
        <v>6.9444444444444475E-3</v>
      </c>
      <c r="S10" s="1">
        <f t="shared" ref="S10:S32" si="1">R10*24</f>
        <v>0.16666666666666674</v>
      </c>
    </row>
    <row r="11" spans="1:19" x14ac:dyDescent="0.4">
      <c r="A11">
        <v>1</v>
      </c>
      <c r="B11" t="s">
        <v>10</v>
      </c>
      <c r="C11">
        <v>6</v>
      </c>
      <c r="D11" t="s">
        <v>1</v>
      </c>
      <c r="E11" t="s">
        <v>2</v>
      </c>
      <c r="F11">
        <v>5</v>
      </c>
      <c r="G11" t="s">
        <v>3</v>
      </c>
      <c r="H11">
        <v>30</v>
      </c>
      <c r="I11">
        <v>30</v>
      </c>
      <c r="J11">
        <v>25.28</v>
      </c>
      <c r="K11">
        <v>25.28</v>
      </c>
      <c r="M11">
        <v>0.13194444444444445</v>
      </c>
      <c r="O11" t="s">
        <v>4</v>
      </c>
      <c r="P11">
        <v>0.1508838383838384</v>
      </c>
      <c r="R11">
        <f t="shared" si="0"/>
        <v>1.893939393939395E-2</v>
      </c>
      <c r="S11" s="1">
        <f t="shared" si="1"/>
        <v>0.45454545454545481</v>
      </c>
    </row>
    <row r="12" spans="1:19" x14ac:dyDescent="0.4">
      <c r="A12" t="s">
        <v>9</v>
      </c>
      <c r="B12" t="s">
        <v>11</v>
      </c>
      <c r="C12">
        <v>6</v>
      </c>
      <c r="D12" t="s">
        <v>1</v>
      </c>
      <c r="E12" t="s">
        <v>2</v>
      </c>
      <c r="F12">
        <v>6</v>
      </c>
      <c r="G12" t="s">
        <v>3</v>
      </c>
      <c r="H12">
        <v>36</v>
      </c>
      <c r="I12">
        <v>36</v>
      </c>
      <c r="J12">
        <v>30.24</v>
      </c>
      <c r="K12">
        <v>30.24</v>
      </c>
      <c r="M12">
        <v>0.13194444444444445</v>
      </c>
      <c r="O12" t="s">
        <v>4</v>
      </c>
      <c r="P12">
        <v>0.16765873015873017</v>
      </c>
      <c r="R12">
        <f t="shared" si="0"/>
        <v>3.5714285714285726E-2</v>
      </c>
      <c r="S12" s="1">
        <f t="shared" si="1"/>
        <v>0.85714285714285743</v>
      </c>
    </row>
    <row r="13" spans="1:19" x14ac:dyDescent="0.4">
      <c r="A13">
        <v>2</v>
      </c>
      <c r="B13" t="s">
        <v>0</v>
      </c>
      <c r="C13">
        <v>1.3454999999999999</v>
      </c>
      <c r="D13" t="s">
        <v>1</v>
      </c>
      <c r="E13" t="s">
        <v>2</v>
      </c>
      <c r="F13">
        <v>1</v>
      </c>
      <c r="G13" t="s">
        <v>3</v>
      </c>
      <c r="H13">
        <v>1.3454999999999999</v>
      </c>
      <c r="I13">
        <v>3.7397999999999993</v>
      </c>
      <c r="J13">
        <v>1.3454999999999999</v>
      </c>
      <c r="K13">
        <v>3.7397999999999993</v>
      </c>
      <c r="M13">
        <v>0.14741161616161619</v>
      </c>
      <c r="O13" t="s">
        <v>4</v>
      </c>
      <c r="P13">
        <v>0.15435606060606064</v>
      </c>
      <c r="R13">
        <f t="shared" si="0"/>
        <v>6.9444444444444475E-3</v>
      </c>
      <c r="S13" s="1">
        <f t="shared" si="1"/>
        <v>0.16666666666666674</v>
      </c>
    </row>
    <row r="14" spans="1:19" x14ac:dyDescent="0.4">
      <c r="A14" t="s">
        <v>12</v>
      </c>
      <c r="B14" t="s">
        <v>0</v>
      </c>
      <c r="C14">
        <v>1.3454999999999999</v>
      </c>
      <c r="D14" t="s">
        <v>1</v>
      </c>
      <c r="E14" t="s">
        <v>2</v>
      </c>
      <c r="F14">
        <v>1</v>
      </c>
      <c r="G14" t="s">
        <v>3</v>
      </c>
      <c r="H14">
        <v>1.3454999999999999</v>
      </c>
      <c r="I14">
        <v>5.0852999999999993</v>
      </c>
      <c r="J14">
        <v>1.3454999999999999</v>
      </c>
      <c r="K14">
        <v>5.0852999999999993</v>
      </c>
      <c r="M14">
        <v>0.16418650793650796</v>
      </c>
      <c r="O14" t="s">
        <v>4</v>
      </c>
      <c r="P14">
        <v>0.17113095238095241</v>
      </c>
      <c r="R14">
        <f t="shared" si="0"/>
        <v>6.9444444444444475E-3</v>
      </c>
      <c r="S14" s="1">
        <f t="shared" si="1"/>
        <v>0.16666666666666674</v>
      </c>
    </row>
    <row r="15" spans="1:19" x14ac:dyDescent="0.4">
      <c r="A15">
        <v>2</v>
      </c>
      <c r="B15" t="s">
        <v>10</v>
      </c>
      <c r="C15">
        <v>6</v>
      </c>
      <c r="D15" t="s">
        <v>1</v>
      </c>
      <c r="E15" t="s">
        <v>2</v>
      </c>
      <c r="F15">
        <v>5</v>
      </c>
      <c r="G15" t="s">
        <v>3</v>
      </c>
      <c r="H15">
        <v>30</v>
      </c>
      <c r="I15">
        <v>60</v>
      </c>
      <c r="J15">
        <v>31.200000000000003</v>
      </c>
      <c r="K15">
        <v>56.480000000000004</v>
      </c>
      <c r="M15">
        <v>0.15435606060606064</v>
      </c>
      <c r="O15" t="s">
        <v>4</v>
      </c>
      <c r="P15">
        <v>0.17329545454545459</v>
      </c>
      <c r="R15">
        <f t="shared" si="0"/>
        <v>1.893939393939395E-2</v>
      </c>
      <c r="S15" s="1">
        <f t="shared" si="1"/>
        <v>0.45454545454545481</v>
      </c>
    </row>
    <row r="16" spans="1:19" x14ac:dyDescent="0.4">
      <c r="A16" t="s">
        <v>12</v>
      </c>
      <c r="B16" t="s">
        <v>11</v>
      </c>
      <c r="C16">
        <v>6</v>
      </c>
      <c r="D16" t="s">
        <v>1</v>
      </c>
      <c r="E16" t="s">
        <v>2</v>
      </c>
      <c r="F16">
        <v>5</v>
      </c>
      <c r="G16" t="s">
        <v>3</v>
      </c>
      <c r="H16">
        <v>30</v>
      </c>
      <c r="I16">
        <v>66</v>
      </c>
      <c r="J16">
        <v>31.200000000000003</v>
      </c>
      <c r="K16">
        <v>61.44</v>
      </c>
      <c r="M16">
        <v>0.17113095238095241</v>
      </c>
      <c r="O16" t="s">
        <v>4</v>
      </c>
      <c r="P16">
        <v>0.20089285714285718</v>
      </c>
      <c r="R16">
        <f t="shared" si="0"/>
        <v>2.9761904761904767E-2</v>
      </c>
      <c r="S16" s="1">
        <f t="shared" si="1"/>
        <v>0.71428571428571441</v>
      </c>
    </row>
    <row r="17" spans="1:19" x14ac:dyDescent="0.4">
      <c r="A17">
        <v>3</v>
      </c>
      <c r="B17" t="s">
        <v>0</v>
      </c>
      <c r="C17">
        <v>1.3454999999999999</v>
      </c>
      <c r="D17" t="s">
        <v>1</v>
      </c>
      <c r="E17" t="s">
        <v>2</v>
      </c>
      <c r="F17">
        <v>1</v>
      </c>
      <c r="G17" t="s">
        <v>3</v>
      </c>
      <c r="H17">
        <v>1.3454999999999999</v>
      </c>
      <c r="I17">
        <v>6.4307999999999996</v>
      </c>
      <c r="J17">
        <v>1.3454999999999999</v>
      </c>
      <c r="K17">
        <v>6.4307999999999996</v>
      </c>
      <c r="M17">
        <v>0.16982323232323238</v>
      </c>
      <c r="O17" t="s">
        <v>4</v>
      </c>
      <c r="P17">
        <v>0.17676767676767682</v>
      </c>
      <c r="R17">
        <f t="shared" si="0"/>
        <v>6.9444444444444475E-3</v>
      </c>
      <c r="S17" s="1">
        <f t="shared" si="1"/>
        <v>0.16666666666666674</v>
      </c>
    </row>
    <row r="18" spans="1:19" x14ac:dyDescent="0.4">
      <c r="A18" t="s">
        <v>13</v>
      </c>
      <c r="B18" t="s">
        <v>0</v>
      </c>
      <c r="C18">
        <v>1.3454999999999999</v>
      </c>
      <c r="D18" t="s">
        <v>1</v>
      </c>
      <c r="E18" t="s">
        <v>2</v>
      </c>
      <c r="F18">
        <v>1</v>
      </c>
      <c r="G18" t="s">
        <v>3</v>
      </c>
      <c r="H18">
        <v>1.3454999999999999</v>
      </c>
      <c r="I18">
        <v>7.7762999999999991</v>
      </c>
      <c r="J18">
        <v>1.3454999999999999</v>
      </c>
      <c r="K18">
        <v>7.7762999999999991</v>
      </c>
      <c r="M18">
        <v>0.19742063492063497</v>
      </c>
      <c r="O18" t="s">
        <v>4</v>
      </c>
      <c r="P18">
        <v>0.20436507936507942</v>
      </c>
      <c r="R18">
        <f t="shared" si="0"/>
        <v>6.9444444444444475E-3</v>
      </c>
      <c r="S18" s="1">
        <f t="shared" si="1"/>
        <v>0.16666666666666674</v>
      </c>
    </row>
    <row r="19" spans="1:19" x14ac:dyDescent="0.4">
      <c r="A19">
        <v>3</v>
      </c>
      <c r="B19" t="s">
        <v>10</v>
      </c>
      <c r="C19">
        <v>6</v>
      </c>
      <c r="D19" t="s">
        <v>1</v>
      </c>
      <c r="E19" t="s">
        <v>2</v>
      </c>
      <c r="F19">
        <v>5</v>
      </c>
      <c r="G19" t="s">
        <v>3</v>
      </c>
      <c r="H19">
        <v>30</v>
      </c>
      <c r="I19">
        <v>90</v>
      </c>
      <c r="J19">
        <v>31.200000000000003</v>
      </c>
      <c r="K19">
        <v>87.68</v>
      </c>
      <c r="M19">
        <v>0.17676767676767682</v>
      </c>
      <c r="O19" t="s">
        <v>4</v>
      </c>
      <c r="P19">
        <v>0.19570707070707077</v>
      </c>
      <c r="R19">
        <f t="shared" si="0"/>
        <v>1.893939393939395E-2</v>
      </c>
      <c r="S19" s="1">
        <f t="shared" si="1"/>
        <v>0.45454545454545481</v>
      </c>
    </row>
    <row r="20" spans="1:19" x14ac:dyDescent="0.4">
      <c r="A20" t="s">
        <v>13</v>
      </c>
      <c r="B20" t="s">
        <v>11</v>
      </c>
      <c r="C20">
        <v>6</v>
      </c>
      <c r="D20" t="s">
        <v>1</v>
      </c>
      <c r="E20" t="s">
        <v>2</v>
      </c>
      <c r="F20">
        <v>5</v>
      </c>
      <c r="G20" t="s">
        <v>3</v>
      </c>
      <c r="H20">
        <v>30</v>
      </c>
      <c r="I20">
        <v>96</v>
      </c>
      <c r="J20">
        <v>31.200000000000003</v>
      </c>
      <c r="K20">
        <v>92.64</v>
      </c>
      <c r="M20">
        <v>0.20436507936507942</v>
      </c>
      <c r="O20" t="s">
        <v>4</v>
      </c>
      <c r="P20">
        <v>0.23412698412698418</v>
      </c>
      <c r="R20">
        <f t="shared" si="0"/>
        <v>2.9761904761904767E-2</v>
      </c>
      <c r="S20" s="1">
        <f t="shared" si="1"/>
        <v>0.71428571428571441</v>
      </c>
    </row>
    <row r="21" spans="1:19" x14ac:dyDescent="0.4">
      <c r="A21">
        <v>4</v>
      </c>
      <c r="B21" t="s">
        <v>0</v>
      </c>
      <c r="C21">
        <v>1.5179999999999998</v>
      </c>
      <c r="D21" t="s">
        <v>1</v>
      </c>
      <c r="E21" t="s">
        <v>2</v>
      </c>
      <c r="F21">
        <v>1</v>
      </c>
      <c r="G21" t="s">
        <v>3</v>
      </c>
      <c r="H21">
        <v>1.5179999999999998</v>
      </c>
      <c r="I21">
        <v>9.2942999999999998</v>
      </c>
      <c r="J21">
        <v>1.5179999999999998</v>
      </c>
      <c r="K21">
        <v>9.2942999999999998</v>
      </c>
      <c r="M21">
        <v>0.19223484848484856</v>
      </c>
      <c r="O21" t="s">
        <v>4</v>
      </c>
      <c r="P21">
        <v>0.19917929292929301</v>
      </c>
      <c r="R21">
        <f t="shared" si="0"/>
        <v>6.9444444444444475E-3</v>
      </c>
      <c r="S21" s="1">
        <f t="shared" si="1"/>
        <v>0.16666666666666674</v>
      </c>
    </row>
    <row r="22" spans="1:19" x14ac:dyDescent="0.4">
      <c r="A22" t="s">
        <v>14</v>
      </c>
      <c r="B22" t="s">
        <v>0</v>
      </c>
      <c r="C22">
        <v>1.3454999999999999</v>
      </c>
      <c r="D22" t="s">
        <v>1</v>
      </c>
      <c r="E22" t="s">
        <v>2</v>
      </c>
      <c r="F22">
        <v>1</v>
      </c>
      <c r="G22" t="s">
        <v>3</v>
      </c>
      <c r="H22">
        <v>1.3454999999999999</v>
      </c>
      <c r="I22">
        <v>10.639799999999999</v>
      </c>
      <c r="J22">
        <v>1.3454999999999999</v>
      </c>
      <c r="K22">
        <v>10.639799999999999</v>
      </c>
      <c r="M22">
        <v>0.23065476190476197</v>
      </c>
      <c r="O22" t="s">
        <v>4</v>
      </c>
      <c r="P22">
        <v>0.23759920634920642</v>
      </c>
      <c r="R22">
        <f t="shared" si="0"/>
        <v>6.9444444444444475E-3</v>
      </c>
      <c r="S22" s="1">
        <f t="shared" si="1"/>
        <v>0.16666666666666674</v>
      </c>
    </row>
    <row r="23" spans="1:19" x14ac:dyDescent="0.4">
      <c r="A23">
        <v>4</v>
      </c>
      <c r="B23" t="s">
        <v>15</v>
      </c>
      <c r="C23">
        <v>6</v>
      </c>
      <c r="D23" t="s">
        <v>1</v>
      </c>
      <c r="E23" t="s">
        <v>2</v>
      </c>
      <c r="F23">
        <v>6</v>
      </c>
      <c r="G23" t="s">
        <v>3</v>
      </c>
      <c r="H23">
        <v>36</v>
      </c>
      <c r="I23">
        <v>36</v>
      </c>
      <c r="J23">
        <v>35.200000000000003</v>
      </c>
      <c r="K23">
        <v>35.200000000000003</v>
      </c>
      <c r="M23">
        <v>0.19917929292929301</v>
      </c>
      <c r="O23" t="s">
        <v>4</v>
      </c>
      <c r="P23">
        <v>0.23489357864357874</v>
      </c>
      <c r="R23">
        <f t="shared" si="0"/>
        <v>3.5714285714285726E-2</v>
      </c>
      <c r="S23" s="1">
        <f t="shared" si="1"/>
        <v>0.85714285714285743</v>
      </c>
    </row>
    <row r="24" spans="1:19" x14ac:dyDescent="0.4">
      <c r="A24" t="s">
        <v>14</v>
      </c>
      <c r="B24" t="s">
        <v>11</v>
      </c>
      <c r="C24">
        <v>6</v>
      </c>
      <c r="D24" t="s">
        <v>1</v>
      </c>
      <c r="E24" t="s">
        <v>2</v>
      </c>
      <c r="F24">
        <v>5</v>
      </c>
      <c r="G24" t="s">
        <v>3</v>
      </c>
      <c r="H24">
        <v>30</v>
      </c>
      <c r="I24">
        <v>126</v>
      </c>
      <c r="J24">
        <v>31.200000000000003</v>
      </c>
      <c r="K24">
        <v>123.84</v>
      </c>
      <c r="M24">
        <v>0.23759920634920642</v>
      </c>
      <c r="O24" t="s">
        <v>4</v>
      </c>
      <c r="P24">
        <v>0.26736111111111116</v>
      </c>
      <c r="R24">
        <f t="shared" si="0"/>
        <v>2.9761904761904739E-2</v>
      </c>
      <c r="S24" s="1">
        <f t="shared" si="1"/>
        <v>0.71428571428571375</v>
      </c>
    </row>
    <row r="25" spans="1:19" x14ac:dyDescent="0.4">
      <c r="A25">
        <v>5</v>
      </c>
      <c r="B25" t="s">
        <v>0</v>
      </c>
      <c r="C25">
        <v>1.1212499999999999</v>
      </c>
      <c r="D25" t="s">
        <v>1</v>
      </c>
      <c r="E25" t="s">
        <v>2</v>
      </c>
      <c r="F25">
        <v>1</v>
      </c>
      <c r="G25" t="s">
        <v>3</v>
      </c>
      <c r="H25">
        <v>1.1212499999999999</v>
      </c>
      <c r="I25">
        <v>11.761049999999999</v>
      </c>
      <c r="J25">
        <v>1.1212499999999999</v>
      </c>
      <c r="K25">
        <v>11.761049999999999</v>
      </c>
      <c r="M25">
        <v>0.25225468975468984</v>
      </c>
      <c r="O25" t="s">
        <v>4</v>
      </c>
      <c r="P25">
        <v>0.25919913419913426</v>
      </c>
      <c r="R25">
        <f t="shared" si="0"/>
        <v>6.9444444444444198E-3</v>
      </c>
      <c r="S25" s="1">
        <f t="shared" si="1"/>
        <v>0.16666666666666607</v>
      </c>
    </row>
    <row r="26" spans="1:19" x14ac:dyDescent="0.4">
      <c r="A26" t="s">
        <v>16</v>
      </c>
      <c r="B26" t="s">
        <v>0</v>
      </c>
      <c r="C26">
        <v>1.3454999999999999</v>
      </c>
      <c r="D26" t="s">
        <v>1</v>
      </c>
      <c r="E26" t="s">
        <v>2</v>
      </c>
      <c r="F26">
        <v>1</v>
      </c>
      <c r="G26" t="s">
        <v>3</v>
      </c>
      <c r="H26">
        <v>1.3454999999999999</v>
      </c>
      <c r="I26">
        <v>13.106549999999999</v>
      </c>
      <c r="J26">
        <v>1.3454999999999999</v>
      </c>
      <c r="K26">
        <v>13.106549999999999</v>
      </c>
      <c r="M26">
        <v>0.28472222222222227</v>
      </c>
      <c r="O26" t="s">
        <v>4</v>
      </c>
      <c r="P26">
        <v>0.29166666666666669</v>
      </c>
      <c r="R26">
        <f t="shared" si="0"/>
        <v>6.9444444444444198E-3</v>
      </c>
      <c r="S26" s="1">
        <f t="shared" si="1"/>
        <v>0.16666666666666607</v>
      </c>
    </row>
    <row r="27" spans="1:19" x14ac:dyDescent="0.4">
      <c r="A27">
        <v>5</v>
      </c>
      <c r="B27" t="s">
        <v>11</v>
      </c>
      <c r="C27">
        <v>6</v>
      </c>
      <c r="D27" t="s">
        <v>1</v>
      </c>
      <c r="E27" t="s">
        <v>2</v>
      </c>
      <c r="F27">
        <v>5</v>
      </c>
      <c r="G27" t="s">
        <v>3</v>
      </c>
      <c r="H27">
        <v>30</v>
      </c>
      <c r="I27">
        <v>156</v>
      </c>
      <c r="J27">
        <v>26</v>
      </c>
      <c r="K27">
        <v>149.84</v>
      </c>
      <c r="M27">
        <v>0.25919913419913426</v>
      </c>
      <c r="O27" t="s">
        <v>4</v>
      </c>
      <c r="P27">
        <v>0.29044913419913426</v>
      </c>
      <c r="R27">
        <f t="shared" si="0"/>
        <v>3.125E-2</v>
      </c>
      <c r="S27" s="1">
        <f t="shared" si="1"/>
        <v>0.75</v>
      </c>
    </row>
    <row r="28" spans="1:19" x14ac:dyDescent="0.4">
      <c r="A28" t="s">
        <v>16</v>
      </c>
      <c r="B28" t="s">
        <v>11</v>
      </c>
      <c r="C28">
        <v>6</v>
      </c>
      <c r="D28" t="s">
        <v>1</v>
      </c>
      <c r="E28" t="s">
        <v>2</v>
      </c>
      <c r="F28">
        <v>5</v>
      </c>
      <c r="G28" t="s">
        <v>3</v>
      </c>
      <c r="H28">
        <v>30</v>
      </c>
      <c r="I28">
        <v>186</v>
      </c>
      <c r="J28">
        <v>31.200000000000003</v>
      </c>
      <c r="K28">
        <v>181.04000000000002</v>
      </c>
      <c r="M28">
        <v>0.29166666666666669</v>
      </c>
      <c r="O28" t="s">
        <v>4</v>
      </c>
      <c r="P28">
        <v>0.32291666666666669</v>
      </c>
      <c r="R28">
        <f t="shared" si="0"/>
        <v>3.125E-2</v>
      </c>
      <c r="S28" s="1">
        <f t="shared" si="1"/>
        <v>0.75</v>
      </c>
    </row>
    <row r="29" spans="1:19" x14ac:dyDescent="0.4">
      <c r="A29">
        <v>6</v>
      </c>
      <c r="B29" t="s">
        <v>0</v>
      </c>
      <c r="C29">
        <v>0.9056249999999999</v>
      </c>
      <c r="D29" t="s">
        <v>1</v>
      </c>
      <c r="E29" t="s">
        <v>2</v>
      </c>
      <c r="F29">
        <v>1</v>
      </c>
      <c r="G29" t="s">
        <v>3</v>
      </c>
      <c r="H29">
        <v>0.9056249999999999</v>
      </c>
      <c r="I29">
        <v>14.012174999999999</v>
      </c>
      <c r="J29">
        <v>0.9056249999999999</v>
      </c>
      <c r="K29">
        <v>14.012174999999999</v>
      </c>
      <c r="M29">
        <v>0.28697691197691205</v>
      </c>
      <c r="O29" t="s">
        <v>4</v>
      </c>
      <c r="P29">
        <v>0.29392135642135647</v>
      </c>
      <c r="R29">
        <f t="shared" si="0"/>
        <v>6.9444444444444198E-3</v>
      </c>
      <c r="S29" s="1">
        <f t="shared" si="1"/>
        <v>0.16666666666666607</v>
      </c>
    </row>
    <row r="30" spans="1:19" x14ac:dyDescent="0.4">
      <c r="A30" t="s">
        <v>17</v>
      </c>
      <c r="B30" t="s">
        <v>0</v>
      </c>
      <c r="C30">
        <v>0.9056249999999999</v>
      </c>
      <c r="D30" t="s">
        <v>5</v>
      </c>
      <c r="E30" t="s">
        <v>2</v>
      </c>
      <c r="F30">
        <v>2</v>
      </c>
      <c r="G30" t="s">
        <v>3</v>
      </c>
      <c r="H30">
        <v>0.9056249999999999</v>
      </c>
      <c r="I30">
        <v>14.9178</v>
      </c>
      <c r="J30">
        <v>0.9056249999999999</v>
      </c>
      <c r="K30">
        <v>14.9178</v>
      </c>
      <c r="M30">
        <v>0.31944444444444448</v>
      </c>
      <c r="O30" t="s">
        <v>4</v>
      </c>
      <c r="P30">
        <v>0.3263888888888889</v>
      </c>
      <c r="R30">
        <f t="shared" si="0"/>
        <v>6.9444444444444198E-3</v>
      </c>
      <c r="S30" s="1">
        <f t="shared" si="1"/>
        <v>0.16666666666666607</v>
      </c>
    </row>
    <row r="31" spans="1:19" x14ac:dyDescent="0.4">
      <c r="A31">
        <v>6</v>
      </c>
      <c r="B31" t="s">
        <v>11</v>
      </c>
      <c r="C31">
        <v>6</v>
      </c>
      <c r="D31" t="s">
        <v>1</v>
      </c>
      <c r="E31" t="s">
        <v>2</v>
      </c>
      <c r="F31">
        <v>3</v>
      </c>
      <c r="G31" t="s">
        <v>3</v>
      </c>
      <c r="H31">
        <v>18</v>
      </c>
      <c r="I31">
        <v>204</v>
      </c>
      <c r="J31">
        <v>21</v>
      </c>
      <c r="K31">
        <v>202.04000000000002</v>
      </c>
      <c r="M31">
        <v>0.29392135642135647</v>
      </c>
      <c r="O31" t="s">
        <v>4</v>
      </c>
      <c r="P31">
        <v>0.31267135642135646</v>
      </c>
      <c r="R31">
        <f t="shared" si="0"/>
        <v>1.8749999999999989E-2</v>
      </c>
      <c r="S31" s="1">
        <f t="shared" si="1"/>
        <v>0.44999999999999973</v>
      </c>
    </row>
    <row r="32" spans="1:19" x14ac:dyDescent="0.4">
      <c r="A32" t="s">
        <v>17</v>
      </c>
      <c r="B32" t="s">
        <v>11</v>
      </c>
      <c r="C32">
        <v>6</v>
      </c>
      <c r="D32" t="s">
        <v>1</v>
      </c>
      <c r="E32" t="s">
        <v>2</v>
      </c>
      <c r="F32">
        <v>4</v>
      </c>
      <c r="G32" t="s">
        <v>3</v>
      </c>
      <c r="H32">
        <v>24</v>
      </c>
      <c r="I32">
        <v>228</v>
      </c>
      <c r="J32">
        <v>21</v>
      </c>
      <c r="K32">
        <v>223.04000000000002</v>
      </c>
      <c r="M32">
        <v>0.3263888888888889</v>
      </c>
      <c r="O32" t="s">
        <v>4</v>
      </c>
      <c r="P32">
        <v>0.35138888888888892</v>
      </c>
      <c r="R32">
        <f t="shared" si="0"/>
        <v>2.5000000000000022E-2</v>
      </c>
      <c r="S32" s="1">
        <f t="shared" si="1"/>
        <v>0.60000000000000053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岡凛</dc:creator>
  <cp:lastModifiedBy>岡凛</cp:lastModifiedBy>
  <dcterms:created xsi:type="dcterms:W3CDTF">2023-06-04T07:13:13Z</dcterms:created>
  <dcterms:modified xsi:type="dcterms:W3CDTF">2023-06-06T03:01:26Z</dcterms:modified>
</cp:coreProperties>
</file>